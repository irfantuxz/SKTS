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PID sensorless\"/>
    </mc:Choice>
  </mc:AlternateContent>
  <xr:revisionPtr revIDLastSave="0" documentId="13_ncr:1_{0C7AC952-7ACE-4DF2-9440-8EE4492C5A65}" xr6:coauthVersionLast="47" xr6:coauthVersionMax="47" xr10:uidLastSave="{00000000-0000-0000-0000-000000000000}"/>
  <bookViews>
    <workbookView xWindow="-108" yWindow="-108" windowWidth="23256" windowHeight="12456" xr2:uid="{A4BF65BA-4F40-4D7B-8397-A149E0129378}"/>
  </bookViews>
  <sheets>
    <sheet name="Sheet1" sheetId="1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7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E31" i="1"/>
  <c r="D22" i="1"/>
  <c r="D20" i="1"/>
  <c r="B20" i="1"/>
  <c r="F18" i="1" l="1"/>
</calcChain>
</file>

<file path=xl/sharedStrings.xml><?xml version="1.0" encoding="utf-8"?>
<sst xmlns="http://schemas.openxmlformats.org/spreadsheetml/2006/main" count="35" uniqueCount="32">
  <si>
    <t>V ina219</t>
  </si>
  <si>
    <t>I ina219</t>
  </si>
  <si>
    <t>TABEL HASIL PERBANDINGAN UKUR</t>
  </si>
  <si>
    <t>RPM alat ukur</t>
  </si>
  <si>
    <t>X</t>
  </si>
  <si>
    <t>Y</t>
  </si>
  <si>
    <t>X volt</t>
  </si>
  <si>
    <t>calib V</t>
  </si>
  <si>
    <t>X current</t>
  </si>
  <si>
    <t>calib current</t>
  </si>
  <si>
    <t>DCR</t>
  </si>
  <si>
    <t>Rs</t>
  </si>
  <si>
    <t>Test Freq</t>
  </si>
  <si>
    <t>Ls</t>
  </si>
  <si>
    <t>100Hz</t>
  </si>
  <si>
    <t>9.205mH</t>
  </si>
  <si>
    <t>120Hz</t>
  </si>
  <si>
    <t>9.156mH</t>
  </si>
  <si>
    <t>1000Hz</t>
  </si>
  <si>
    <t>10kHz</t>
  </si>
  <si>
    <t>8.699mH</t>
  </si>
  <si>
    <t>5.258mH</t>
  </si>
  <si>
    <t>44.34 ohm</t>
  </si>
  <si>
    <t>44.27 ohm</t>
  </si>
  <si>
    <t>49.73ohm</t>
  </si>
  <si>
    <t>327.8 ohm</t>
  </si>
  <si>
    <t>V meter</t>
  </si>
  <si>
    <t>I meter</t>
  </si>
  <si>
    <t>Spek MOTOR</t>
  </si>
  <si>
    <t>Ke=</t>
  </si>
  <si>
    <t>RPM ukur</t>
  </si>
  <si>
    <t>DCR=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</si>
</sst>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0000"/>
  </numFmts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Aptos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69" fontId="0" fillId="0" borderId="0" xfId="0" applyNumberFormat="1"/>
    <xf numFmtId="16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Volt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d-ID"/>
                </a:p>
              </c:txPr>
            </c:trendlineLbl>
          </c:trendline>
          <c:xVal>
            <c:numRef>
              <c:f>Sheet1!$C$4:$C$16</c:f>
              <c:numCache>
                <c:formatCode>General</c:formatCode>
                <c:ptCount val="13"/>
                <c:pt idx="0">
                  <c:v>0</c:v>
                </c:pt>
                <c:pt idx="1">
                  <c:v>0.96</c:v>
                </c:pt>
                <c:pt idx="2">
                  <c:v>1.93</c:v>
                </c:pt>
                <c:pt idx="3">
                  <c:v>2.91</c:v>
                </c:pt>
                <c:pt idx="4">
                  <c:v>3.88</c:v>
                </c:pt>
                <c:pt idx="5">
                  <c:v>4.8499999999999996</c:v>
                </c:pt>
                <c:pt idx="6">
                  <c:v>5.82</c:v>
                </c:pt>
                <c:pt idx="7">
                  <c:v>6.8</c:v>
                </c:pt>
                <c:pt idx="8">
                  <c:v>7.77</c:v>
                </c:pt>
                <c:pt idx="9">
                  <c:v>8.76</c:v>
                </c:pt>
                <c:pt idx="10">
                  <c:v>9.74</c:v>
                </c:pt>
                <c:pt idx="11">
                  <c:v>10.71</c:v>
                </c:pt>
                <c:pt idx="12">
                  <c:v>11.68</c:v>
                </c:pt>
              </c:numCache>
            </c:numRef>
          </c:xVal>
          <c:yVal>
            <c:numRef>
              <c:f>Sheet1!$A$4:$A$16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E7DF-44F0-AE41-0C4C2AF43F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1086752"/>
        <c:axId val="1841070432"/>
      </c:scatterChart>
      <c:valAx>
        <c:axId val="1841086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841070432"/>
        <c:crosses val="autoZero"/>
        <c:crossBetween val="midCat"/>
      </c:valAx>
      <c:valAx>
        <c:axId val="1841070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841086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Current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d-ID"/>
                </a:p>
              </c:txPr>
            </c:trendlineLbl>
          </c:trendline>
          <c:xVal>
            <c:numRef>
              <c:f>Sheet1!$D$4:$D$16</c:f>
              <c:numCache>
                <c:formatCode>General</c:formatCode>
                <c:ptCount val="13"/>
                <c:pt idx="0">
                  <c:v>0</c:v>
                </c:pt>
                <c:pt idx="1">
                  <c:v>17</c:v>
                </c:pt>
                <c:pt idx="2">
                  <c:v>28.6</c:v>
                </c:pt>
                <c:pt idx="3">
                  <c:v>42.5</c:v>
                </c:pt>
                <c:pt idx="4">
                  <c:v>57.4</c:v>
                </c:pt>
                <c:pt idx="5">
                  <c:v>72.5</c:v>
                </c:pt>
                <c:pt idx="6">
                  <c:v>87.1</c:v>
                </c:pt>
                <c:pt idx="7">
                  <c:v>102.3</c:v>
                </c:pt>
                <c:pt idx="8">
                  <c:v>116.7</c:v>
                </c:pt>
                <c:pt idx="9">
                  <c:v>130.1</c:v>
                </c:pt>
                <c:pt idx="10">
                  <c:v>143.1</c:v>
                </c:pt>
                <c:pt idx="11">
                  <c:v>157.9</c:v>
                </c:pt>
                <c:pt idx="12">
                  <c:v>172.6</c:v>
                </c:pt>
              </c:numCache>
            </c:numRef>
          </c:xVal>
          <c:yVal>
            <c:numRef>
              <c:f>Sheet1!$B$4:$B$16</c:f>
              <c:numCache>
                <c:formatCode>General</c:formatCode>
                <c:ptCount val="13"/>
                <c:pt idx="0">
                  <c:v>0</c:v>
                </c:pt>
                <c:pt idx="1">
                  <c:v>14.19</c:v>
                </c:pt>
                <c:pt idx="2">
                  <c:v>24.2</c:v>
                </c:pt>
                <c:pt idx="3">
                  <c:v>36.020000000000003</c:v>
                </c:pt>
                <c:pt idx="4">
                  <c:v>48.4</c:v>
                </c:pt>
                <c:pt idx="5">
                  <c:v>61</c:v>
                </c:pt>
                <c:pt idx="6">
                  <c:v>73.900000000000006</c:v>
                </c:pt>
                <c:pt idx="7">
                  <c:v>86.3</c:v>
                </c:pt>
                <c:pt idx="8">
                  <c:v>98.2</c:v>
                </c:pt>
                <c:pt idx="9">
                  <c:v>109.7</c:v>
                </c:pt>
                <c:pt idx="10">
                  <c:v>120.5</c:v>
                </c:pt>
                <c:pt idx="11">
                  <c:v>133.19999999999999</c:v>
                </c:pt>
                <c:pt idx="12">
                  <c:v>146.19999999999999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4A2-4098-A91E-45BB2F862F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3257728"/>
        <c:axId val="1673256768"/>
      </c:scatterChart>
      <c:valAx>
        <c:axId val="1673257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673256768"/>
        <c:crosses val="autoZero"/>
        <c:crossBetween val="midCat"/>
      </c:valAx>
      <c:valAx>
        <c:axId val="167325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673257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234009</xdr:colOff>
      <xdr:row>0</xdr:row>
      <xdr:rowOff>102986</xdr:rowOff>
    </xdr:from>
    <xdr:to>
      <xdr:col>12</xdr:col>
      <xdr:colOff>6804</xdr:colOff>
      <xdr:row>17</xdr:row>
      <xdr:rowOff>88447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415E13-7E4D-F19A-0464-6C7959285C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503464</xdr:colOff>
      <xdr:row>0</xdr:row>
      <xdr:rowOff>101374</xdr:rowOff>
    </xdr:from>
    <xdr:to>
      <xdr:col>16</xdr:col>
      <xdr:colOff>483053</xdr:colOff>
      <xdr:row>17</xdr:row>
      <xdr:rowOff>89128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4CED6E-CC4C-E244-D72E-D3073054F0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0</xdr:col>
      <xdr:colOff>0</xdr:colOff>
      <xdr:row>33</xdr:row>
      <xdr:rowOff>56467</xdr:rowOff>
    </xdr:from>
    <xdr:ext cx="1819409" cy="49962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E4D01A87-0FCC-128B-C87B-63409D4B73BB}"/>
                </a:ext>
              </a:extLst>
            </xdr:cNvPr>
            <xdr:cNvSpPr txBox="1"/>
          </xdr:nvSpPr>
          <xdr:spPr>
            <a:xfrm>
              <a:off x="0" y="5934753"/>
              <a:ext cx="1819409" cy="4996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d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id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𝐾</m:t>
                        </m:r>
                      </m:e>
                      <m:sub>
                        <m:r>
                          <a:rPr lang="id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𝑒</m:t>
                        </m:r>
                      </m:sub>
                    </m:sSub>
                    <m:r>
                      <a:rPr lang="id-ID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id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id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𝑉</m:t>
                        </m:r>
                        <m:r>
                          <a:rPr lang="id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d>
                          <m:dPr>
                            <m:ctrlPr>
                              <a:rPr lang="id-ID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id-ID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𝐼</m:t>
                            </m:r>
                            <m:r>
                              <a:rPr lang="id-ID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⋅</m:t>
                            </m:r>
                            <m:r>
                              <a:rPr lang="id-ID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𝑅</m:t>
                            </m:r>
                          </m:e>
                        </m:d>
                      </m:num>
                      <m:den>
                        <m:r>
                          <a:rPr lang="id-ID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𝑅𝑃𝑀</m:t>
                        </m:r>
                      </m:den>
                    </m:f>
                  </m:oMath>
                </m:oMathPara>
              </a14:m>
              <a:endParaRPr lang="id-ID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id-ID" sz="1100"/>
            </a:p>
          </xdr:txBody>
        </xdr:sp>
      </mc:Choice>
      <mc:Fallback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E4D01A87-0FCC-128B-C87B-63409D4B73BB}"/>
                </a:ext>
              </a:extLst>
            </xdr:cNvPr>
            <xdr:cNvSpPr txBox="1"/>
          </xdr:nvSpPr>
          <xdr:spPr>
            <a:xfrm>
              <a:off x="0" y="5934753"/>
              <a:ext cx="1819409" cy="4996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id-ID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𝐾_𝑒=(𝑉−(𝐼⋅𝑅))/𝑅𝑃𝑀</a:t>
              </a:r>
              <a:endParaRPr lang="id-ID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id-ID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30A97-1DF9-45B9-88DD-0F1BE9C8A7AC}">
  <dimension ref="A1:G35"/>
  <sheetViews>
    <sheetView tabSelected="1" zoomScale="130" zoomScaleNormal="130" zoomScaleSheetLayoutView="50" workbookViewId="0">
      <selection activeCell="G20" sqref="G20"/>
    </sheetView>
  </sheetViews>
  <sheetFormatPr defaultRowHeight="14.4" x14ac:dyDescent="0.3"/>
  <cols>
    <col min="1" max="5" width="9.109375" customWidth="1"/>
    <col min="6" max="6" width="10.77734375" customWidth="1"/>
    <col min="7" max="7" width="9.109375" customWidth="1"/>
  </cols>
  <sheetData>
    <row r="1" spans="1:7" x14ac:dyDescent="0.3">
      <c r="A1" t="s">
        <v>2</v>
      </c>
      <c r="F1" t="s">
        <v>31</v>
      </c>
      <c r="G1">
        <v>12.53</v>
      </c>
    </row>
    <row r="2" spans="1:7" x14ac:dyDescent="0.3">
      <c r="A2" t="s">
        <v>5</v>
      </c>
      <c r="C2" t="s">
        <v>4</v>
      </c>
    </row>
    <row r="3" spans="1:7" x14ac:dyDescent="0.3">
      <c r="A3" t="s">
        <v>26</v>
      </c>
      <c r="B3" t="s">
        <v>27</v>
      </c>
      <c r="C3" t="s">
        <v>0</v>
      </c>
      <c r="D3" t="s">
        <v>1</v>
      </c>
      <c r="E3" t="s">
        <v>30</v>
      </c>
      <c r="F3" t="s">
        <v>29</v>
      </c>
    </row>
    <row r="4" spans="1:7" x14ac:dyDescent="0.3">
      <c r="A4">
        <v>0</v>
      </c>
      <c r="B4">
        <v>0</v>
      </c>
      <c r="C4">
        <v>0</v>
      </c>
      <c r="D4">
        <v>0</v>
      </c>
      <c r="E4">
        <v>0</v>
      </c>
      <c r="F4" s="3" t="e">
        <f t="shared" ref="F4:F15" si="0">(A4-(B4/1000*$G$1))/E4</f>
        <v>#DIV/0!</v>
      </c>
    </row>
    <row r="5" spans="1:7" x14ac:dyDescent="0.3">
      <c r="A5">
        <v>1</v>
      </c>
      <c r="B5">
        <v>14.19</v>
      </c>
      <c r="C5">
        <v>0.96</v>
      </c>
      <c r="D5">
        <v>17</v>
      </c>
      <c r="E5">
        <v>540</v>
      </c>
      <c r="F5" s="3">
        <f t="shared" si="0"/>
        <v>1.5225912962962965E-3</v>
      </c>
    </row>
    <row r="6" spans="1:7" x14ac:dyDescent="0.3">
      <c r="A6">
        <v>2</v>
      </c>
      <c r="B6">
        <v>24.2</v>
      </c>
      <c r="C6">
        <v>1.93</v>
      </c>
      <c r="D6">
        <v>28.6</v>
      </c>
      <c r="E6">
        <v>1214</v>
      </c>
      <c r="F6" s="3">
        <f t="shared" si="0"/>
        <v>1.3976721581548601E-3</v>
      </c>
    </row>
    <row r="7" spans="1:7" x14ac:dyDescent="0.3">
      <c r="A7">
        <v>3</v>
      </c>
      <c r="B7">
        <v>36.020000000000003</v>
      </c>
      <c r="C7">
        <v>2.91</v>
      </c>
      <c r="D7">
        <v>42.5</v>
      </c>
      <c r="E7">
        <v>1866</v>
      </c>
      <c r="F7" s="3">
        <f t="shared" si="0"/>
        <v>1.3658464094319399E-3</v>
      </c>
    </row>
    <row r="8" spans="1:7" x14ac:dyDescent="0.3">
      <c r="A8">
        <v>4</v>
      </c>
      <c r="B8">
        <v>48.4</v>
      </c>
      <c r="C8">
        <v>3.88</v>
      </c>
      <c r="D8">
        <v>57.4</v>
      </c>
      <c r="E8">
        <v>2493</v>
      </c>
      <c r="F8" s="3">
        <f t="shared" si="0"/>
        <v>1.3612306458082632E-3</v>
      </c>
    </row>
    <row r="9" spans="1:7" x14ac:dyDescent="0.3">
      <c r="A9">
        <v>5</v>
      </c>
      <c r="B9">
        <v>61</v>
      </c>
      <c r="C9">
        <v>4.8499999999999996</v>
      </c>
      <c r="D9">
        <v>72.5</v>
      </c>
      <c r="E9">
        <v>3147</v>
      </c>
      <c r="F9" s="3">
        <f t="shared" si="0"/>
        <v>1.3459389895138225E-3</v>
      </c>
    </row>
    <row r="10" spans="1:7" x14ac:dyDescent="0.3">
      <c r="A10">
        <v>6</v>
      </c>
      <c r="B10">
        <v>73.900000000000006</v>
      </c>
      <c r="C10">
        <v>5.82</v>
      </c>
      <c r="D10">
        <v>87.1</v>
      </c>
      <c r="E10">
        <v>3787</v>
      </c>
      <c r="F10" s="3">
        <f t="shared" si="0"/>
        <v>1.3398555584895695E-3</v>
      </c>
    </row>
    <row r="11" spans="1:7" x14ac:dyDescent="0.3">
      <c r="A11">
        <v>7</v>
      </c>
      <c r="B11">
        <v>86.3</v>
      </c>
      <c r="C11">
        <v>6.8</v>
      </c>
      <c r="D11">
        <v>102.3</v>
      </c>
      <c r="E11">
        <v>4410</v>
      </c>
      <c r="F11" s="3">
        <f t="shared" si="0"/>
        <v>1.3420999999999999E-3</v>
      </c>
    </row>
    <row r="12" spans="1:7" x14ac:dyDescent="0.3">
      <c r="A12">
        <v>8</v>
      </c>
      <c r="B12">
        <v>98.2</v>
      </c>
      <c r="C12">
        <v>7.77</v>
      </c>
      <c r="D12">
        <v>116.7</v>
      </c>
      <c r="E12">
        <v>5018</v>
      </c>
      <c r="F12" s="3">
        <f t="shared" si="0"/>
        <v>1.3490542048624949E-3</v>
      </c>
    </row>
    <row r="13" spans="1:7" x14ac:dyDescent="0.3">
      <c r="A13">
        <v>9</v>
      </c>
      <c r="B13">
        <v>109.7</v>
      </c>
      <c r="C13">
        <v>8.76</v>
      </c>
      <c r="D13">
        <v>130.1</v>
      </c>
      <c r="E13">
        <v>5667</v>
      </c>
      <c r="F13" s="3">
        <f t="shared" si="0"/>
        <v>1.3455900829362978E-3</v>
      </c>
    </row>
    <row r="14" spans="1:7" x14ac:dyDescent="0.3">
      <c r="A14">
        <v>10</v>
      </c>
      <c r="B14">
        <v>120.5</v>
      </c>
      <c r="C14">
        <v>9.74</v>
      </c>
      <c r="D14">
        <v>143.1</v>
      </c>
      <c r="E14">
        <v>6274</v>
      </c>
      <c r="F14" s="3">
        <f t="shared" si="0"/>
        <v>1.353225215173733E-3</v>
      </c>
    </row>
    <row r="15" spans="1:7" x14ac:dyDescent="0.3">
      <c r="A15">
        <v>11</v>
      </c>
      <c r="B15">
        <v>133.19999999999999</v>
      </c>
      <c r="C15">
        <v>10.71</v>
      </c>
      <c r="D15">
        <v>157.9</v>
      </c>
      <c r="E15">
        <v>6790</v>
      </c>
      <c r="F15" s="3">
        <f t="shared" si="0"/>
        <v>1.3742273932253314E-3</v>
      </c>
    </row>
    <row r="16" spans="1:7" x14ac:dyDescent="0.3">
      <c r="A16">
        <v>12</v>
      </c>
      <c r="B16">
        <v>146.19999999999999</v>
      </c>
      <c r="C16">
        <v>11.68</v>
      </c>
      <c r="D16">
        <v>172.6</v>
      </c>
      <c r="E16">
        <v>7340</v>
      </c>
      <c r="F16" s="3">
        <f>(A16-(B16/1000*$G$1))/E16</f>
        <v>1.3853016348773842E-3</v>
      </c>
    </row>
    <row r="17" spans="1:7" x14ac:dyDescent="0.3">
      <c r="A17">
        <v>11.52</v>
      </c>
      <c r="B17">
        <v>122</v>
      </c>
      <c r="E17">
        <v>7676</v>
      </c>
      <c r="F17" s="4">
        <f>(A17-(B17/1000*$G$1))/E17</f>
        <v>1.3016336633663364E-3</v>
      </c>
    </row>
    <row r="18" spans="1:7" x14ac:dyDescent="0.3">
      <c r="F18" s="3">
        <f>AVERAGE(F7:F16)</f>
        <v>1.3562370134318834E-3</v>
      </c>
    </row>
    <row r="19" spans="1:7" x14ac:dyDescent="0.3">
      <c r="A19" t="s">
        <v>6</v>
      </c>
      <c r="B19" t="s">
        <v>7</v>
      </c>
      <c r="C19" t="s">
        <v>8</v>
      </c>
      <c r="D19" t="s">
        <v>9</v>
      </c>
    </row>
    <row r="20" spans="1:7" x14ac:dyDescent="0.3">
      <c r="A20">
        <v>9.74</v>
      </c>
      <c r="B20">
        <f>B21*A20</f>
        <v>10.013694000000001</v>
      </c>
      <c r="C20">
        <v>130.1</v>
      </c>
      <c r="D20">
        <f>(C20*C20*D21)+(C20*D22)</f>
        <v>109.81741</v>
      </c>
    </row>
    <row r="21" spans="1:7" x14ac:dyDescent="0.3">
      <c r="B21">
        <v>1.0281</v>
      </c>
      <c r="D21">
        <v>0</v>
      </c>
    </row>
    <row r="22" spans="1:7" x14ac:dyDescent="0.3">
      <c r="D22">
        <f>0.8441</f>
        <v>0.84409999999999996</v>
      </c>
    </row>
    <row r="25" spans="1:7" x14ac:dyDescent="0.3">
      <c r="B25" t="s">
        <v>28</v>
      </c>
      <c r="D25" t="s">
        <v>12</v>
      </c>
      <c r="E25" t="s">
        <v>13</v>
      </c>
      <c r="F25" t="s">
        <v>11</v>
      </c>
    </row>
    <row r="26" spans="1:7" x14ac:dyDescent="0.3">
      <c r="D26" s="1" t="s">
        <v>14</v>
      </c>
      <c r="E26" t="s">
        <v>15</v>
      </c>
      <c r="F26" t="s">
        <v>22</v>
      </c>
    </row>
    <row r="27" spans="1:7" x14ac:dyDescent="0.3">
      <c r="D27" s="1" t="s">
        <v>16</v>
      </c>
      <c r="E27" t="s">
        <v>17</v>
      </c>
      <c r="F27" t="s">
        <v>23</v>
      </c>
    </row>
    <row r="28" spans="1:7" x14ac:dyDescent="0.3">
      <c r="D28" s="1" t="s">
        <v>18</v>
      </c>
      <c r="E28" t="s">
        <v>20</v>
      </c>
      <c r="F28" t="s">
        <v>24</v>
      </c>
    </row>
    <row r="29" spans="1:7" x14ac:dyDescent="0.3">
      <c r="D29" s="1" t="s">
        <v>19</v>
      </c>
      <c r="E29" t="s">
        <v>21</v>
      </c>
      <c r="F29" t="s">
        <v>25</v>
      </c>
    </row>
    <row r="30" spans="1:7" x14ac:dyDescent="0.3">
      <c r="D30" s="1"/>
    </row>
    <row r="31" spans="1:7" x14ac:dyDescent="0.3">
      <c r="D31" s="1" t="s">
        <v>10</v>
      </c>
      <c r="E31">
        <f>(D32+E32+F32+G32)/4</f>
        <v>43.94</v>
      </c>
    </row>
    <row r="32" spans="1:7" x14ac:dyDescent="0.3">
      <c r="D32">
        <v>44.06</v>
      </c>
      <c r="E32">
        <v>43.98</v>
      </c>
      <c r="F32">
        <v>44.14</v>
      </c>
      <c r="G32">
        <v>43.58</v>
      </c>
    </row>
    <row r="33" spans="2:4" x14ac:dyDescent="0.3">
      <c r="D33" s="1"/>
    </row>
    <row r="34" spans="2:4" x14ac:dyDescent="0.3">
      <c r="B34" s="2"/>
    </row>
    <row r="35" spans="2:4" x14ac:dyDescent="0.3">
      <c r="D35" t="s">
        <v>29</v>
      </c>
    </row>
  </sheetData>
  <pageMargins left="0.7" right="0.7" top="0.75" bottom="0.75" header="0.3" footer="0.3"/>
  <pageSetup paperSize="9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16AA3-804C-4065-92F3-7A2832765D7B}">
  <dimension ref="A1:D14"/>
  <sheetViews>
    <sheetView workbookViewId="0">
      <selection activeCell="D14" sqref="D2:D14"/>
    </sheetView>
  </sheetViews>
  <sheetFormatPr defaultRowHeight="14.4" x14ac:dyDescent="0.3"/>
  <sheetData>
    <row r="1" spans="1:4" x14ac:dyDescent="0.3">
      <c r="A1" t="s">
        <v>26</v>
      </c>
      <c r="B1" t="s">
        <v>27</v>
      </c>
      <c r="C1" t="s">
        <v>3</v>
      </c>
    </row>
    <row r="2" spans="1:4" x14ac:dyDescent="0.3">
      <c r="A2">
        <v>0</v>
      </c>
      <c r="B2">
        <v>0</v>
      </c>
      <c r="C2">
        <v>0</v>
      </c>
      <c r="D2">
        <v>0</v>
      </c>
    </row>
    <row r="3" spans="1:4" x14ac:dyDescent="0.3">
      <c r="A3">
        <v>1</v>
      </c>
      <c r="B3">
        <v>14.19</v>
      </c>
      <c r="C3">
        <v>526</v>
      </c>
      <c r="D3">
        <v>540</v>
      </c>
    </row>
    <row r="4" spans="1:4" x14ac:dyDescent="0.3">
      <c r="A4">
        <v>2</v>
      </c>
      <c r="B4">
        <v>24.2</v>
      </c>
      <c r="C4">
        <v>1200</v>
      </c>
      <c r="D4">
        <v>1214</v>
      </c>
    </row>
    <row r="5" spans="1:4" x14ac:dyDescent="0.3">
      <c r="A5">
        <v>3</v>
      </c>
      <c r="B5">
        <v>36.020000000000003</v>
      </c>
      <c r="C5">
        <v>1810</v>
      </c>
      <c r="D5">
        <v>1866</v>
      </c>
    </row>
    <row r="6" spans="1:4" x14ac:dyDescent="0.3">
      <c r="A6">
        <v>4</v>
      </c>
      <c r="B6">
        <v>48.4</v>
      </c>
      <c r="C6">
        <v>2458</v>
      </c>
      <c r="D6">
        <v>2493</v>
      </c>
    </row>
    <row r="7" spans="1:4" x14ac:dyDescent="0.3">
      <c r="A7">
        <v>5</v>
      </c>
      <c r="B7">
        <v>61</v>
      </c>
      <c r="C7">
        <v>3100</v>
      </c>
      <c r="D7">
        <v>3147</v>
      </c>
    </row>
    <row r="8" spans="1:4" x14ac:dyDescent="0.3">
      <c r="A8">
        <v>6</v>
      </c>
      <c r="B8">
        <v>73.900000000000006</v>
      </c>
      <c r="C8">
        <v>3822</v>
      </c>
      <c r="D8">
        <v>3787</v>
      </c>
    </row>
    <row r="9" spans="1:4" x14ac:dyDescent="0.3">
      <c r="A9">
        <v>7</v>
      </c>
      <c r="B9">
        <v>86.3</v>
      </c>
      <c r="C9">
        <v>4457</v>
      </c>
      <c r="D9">
        <v>4410</v>
      </c>
    </row>
    <row r="10" spans="1:4" x14ac:dyDescent="0.3">
      <c r="A10">
        <v>8</v>
      </c>
      <c r="B10">
        <v>98.2</v>
      </c>
      <c r="C10">
        <v>5116</v>
      </c>
      <c r="D10">
        <v>5018</v>
      </c>
    </row>
    <row r="11" spans="1:4" x14ac:dyDescent="0.3">
      <c r="A11">
        <v>9</v>
      </c>
      <c r="B11">
        <v>109.7</v>
      </c>
      <c r="C11">
        <v>5656</v>
      </c>
      <c r="D11">
        <v>5667</v>
      </c>
    </row>
    <row r="12" spans="1:4" x14ac:dyDescent="0.3">
      <c r="A12">
        <v>10</v>
      </c>
      <c r="B12">
        <v>120.5</v>
      </c>
      <c r="C12">
        <v>6344</v>
      </c>
      <c r="D12">
        <v>6274</v>
      </c>
    </row>
    <row r="13" spans="1:4" x14ac:dyDescent="0.3">
      <c r="A13">
        <v>11</v>
      </c>
      <c r="B13">
        <v>133.19999999999999</v>
      </c>
      <c r="C13">
        <v>6950</v>
      </c>
      <c r="D13">
        <v>6790</v>
      </c>
    </row>
    <row r="14" spans="1:4" x14ac:dyDescent="0.3">
      <c r="A14">
        <v>12</v>
      </c>
      <c r="B14">
        <v>146.19999999999999</v>
      </c>
      <c r="C14">
        <v>7500</v>
      </c>
      <c r="D14">
        <v>7340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 TuxZ</dc:creator>
  <cp:lastModifiedBy>Irfan TuxZ</cp:lastModifiedBy>
  <dcterms:created xsi:type="dcterms:W3CDTF">2026-05-05T10:09:32Z</dcterms:created>
  <dcterms:modified xsi:type="dcterms:W3CDTF">2026-05-07T07:22:56Z</dcterms:modified>
</cp:coreProperties>
</file>